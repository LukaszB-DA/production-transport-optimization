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194d5615588076/Dokumenty/github portfolio/production^0transport/"/>
    </mc:Choice>
  </mc:AlternateContent>
  <xr:revisionPtr revIDLastSave="11409" documentId="8_{DBB5BB7B-0D46-4BDE-B460-F459281D4D5B}" xr6:coauthVersionLast="47" xr6:coauthVersionMax="47" xr10:uidLastSave="{CA1E93E7-B3EC-497D-A900-C476636DF4D4}"/>
  <bookViews>
    <workbookView xWindow="-108" yWindow="-108" windowWidth="23256" windowHeight="12456" activeTab="1" xr2:uid="{DC47470F-819B-4F31-A5F1-3441F9F7D5E0}"/>
  </bookViews>
  <sheets>
    <sheet name="Model_inputs" sheetId="2" r:id="rId1"/>
    <sheet name="Optimization_model" sheetId="3" r:id="rId2"/>
  </sheets>
  <definedNames>
    <definedName name="solver_adj" localSheetId="1" hidden="1">Optimization_model!$D$4,Optimization_model!$I$4,Optimization_model!$C$7:$E$9,Optimization_model!$H$7:$J$9,Optimization_model!$C$13:$C$14,Optimization_model!$C$17:$C$19,Optimization_model!$H$13:$J$15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Optimization_model!$T$7</definedName>
    <definedName name="solver_lhs10" localSheetId="1" hidden="1">Optimization_model!$T$21</definedName>
    <definedName name="solver_lhs11" localSheetId="1" hidden="1">Optimization_model!$T$18</definedName>
    <definedName name="solver_lhs12" localSheetId="1" hidden="1">Optimization_model!$T$13</definedName>
    <definedName name="solver_lhs13" localSheetId="1" hidden="1">Optimization_model!$C$17:$C$19</definedName>
    <definedName name="solver_lhs14" localSheetId="1" hidden="1">Optimization_model!$C$7:$E$9</definedName>
    <definedName name="solver_lhs15" localSheetId="1" hidden="1">Optimization_model!$T$25</definedName>
    <definedName name="solver_lhs16" localSheetId="1" hidden="1">Optimization_model!$H$7:$J$9</definedName>
    <definedName name="solver_lhs17" localSheetId="1" hidden="1">Optimization_model!$T$26</definedName>
    <definedName name="solver_lhs18" localSheetId="1" hidden="1">Optimization_model!$H$13:$J$15</definedName>
    <definedName name="solver_lhs19" localSheetId="1" hidden="1">Optimization_model!$T$27</definedName>
    <definedName name="solver_lhs2" localSheetId="1" hidden="1">Optimization_model!$T$8</definedName>
    <definedName name="solver_lhs20" localSheetId="1" hidden="1">Optimization_model!$N$15</definedName>
    <definedName name="solver_lhs21" localSheetId="1" hidden="1">Optimization_model!$T$30</definedName>
    <definedName name="solver_lhs22" localSheetId="1" hidden="1">Optimization_model!$T$29</definedName>
    <definedName name="solver_lhs23" localSheetId="1" hidden="1">Optimization_model!$N$14</definedName>
    <definedName name="solver_lhs24" localSheetId="1" hidden="1">Optimization_model!$N$10</definedName>
    <definedName name="solver_lhs25" localSheetId="1" hidden="1">Optimization_model!$N$6</definedName>
    <definedName name="solver_lhs26" localSheetId="1" hidden="1">Optimization_model!$N$16</definedName>
    <definedName name="solver_lhs27" localSheetId="1" hidden="1">Optimization_model!$N$19</definedName>
    <definedName name="solver_lhs28" localSheetId="1" hidden="1">Optimization_model!$N$7</definedName>
    <definedName name="solver_lhs29" localSheetId="1" hidden="1">Optimization_model!$T$12</definedName>
    <definedName name="solver_lhs3" localSheetId="1" hidden="1">Optimization_model!$T$6</definedName>
    <definedName name="solver_lhs30" localSheetId="1" hidden="1">Optimization_model!$N$20</definedName>
    <definedName name="solver_lhs31" localSheetId="1" hidden="1">Optimization_model!$N$11</definedName>
    <definedName name="solver_lhs32" localSheetId="1" hidden="1">Optimization_model!$T$11</definedName>
    <definedName name="solver_lhs4" localSheetId="1" hidden="1">Optimization_model!$T$31</definedName>
    <definedName name="solver_lhs5" localSheetId="1" hidden="1">Optimization_model!$C$13:$C$14</definedName>
    <definedName name="solver_lhs6" localSheetId="1" hidden="1">Optimization_model!$T$23</definedName>
    <definedName name="solver_lhs7" localSheetId="1" hidden="1">Optimization_model!$T$17</definedName>
    <definedName name="solver_lhs8" localSheetId="1" hidden="1">Optimization_model!$T$22</definedName>
    <definedName name="solver_lhs9" localSheetId="1" hidden="1">Optimization_model!$T$16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32</definedName>
    <definedName name="solver_nwt" localSheetId="1" hidden="1">1</definedName>
    <definedName name="solver_opt" localSheetId="1" hidden="1">Optimization_model!$B$22</definedName>
    <definedName name="solver_pre" localSheetId="1" hidden="1">0.000001</definedName>
    <definedName name="solver_rbv" localSheetId="1" hidden="1">1</definedName>
    <definedName name="solver_rel1" localSheetId="1" hidden="1">2</definedName>
    <definedName name="solver_rel10" localSheetId="1" hidden="1">1</definedName>
    <definedName name="solver_rel11" localSheetId="1" hidden="1">2</definedName>
    <definedName name="solver_rel12" localSheetId="1" hidden="1">2</definedName>
    <definedName name="solver_rel13" localSheetId="1" hidden="1">4</definedName>
    <definedName name="solver_rel14" localSheetId="1" hidden="1">4</definedName>
    <definedName name="solver_rel15" localSheetId="1" hidden="1">1</definedName>
    <definedName name="solver_rel16" localSheetId="1" hidden="1">4</definedName>
    <definedName name="solver_rel17" localSheetId="1" hidden="1">1</definedName>
    <definedName name="solver_rel18" localSheetId="1" hidden="1">4</definedName>
    <definedName name="solver_rel19" localSheetId="1" hidden="1">1</definedName>
    <definedName name="solver_rel2" localSheetId="1" hidden="1">2</definedName>
    <definedName name="solver_rel20" localSheetId="1" hidden="1">1</definedName>
    <definedName name="solver_rel21" localSheetId="1" hidden="1">1</definedName>
    <definedName name="solver_rel22" localSheetId="1" hidden="1">1</definedName>
    <definedName name="solver_rel23" localSheetId="1" hidden="1">1</definedName>
    <definedName name="solver_rel24" localSheetId="1" hidden="1">1</definedName>
    <definedName name="solver_rel25" localSheetId="1" hidden="1">1</definedName>
    <definedName name="solver_rel26" localSheetId="1" hidden="1">1</definedName>
    <definedName name="solver_rel27" localSheetId="1" hidden="1">1</definedName>
    <definedName name="solver_rel28" localSheetId="1" hidden="1">1</definedName>
    <definedName name="solver_rel29" localSheetId="1" hidden="1">2</definedName>
    <definedName name="solver_rel3" localSheetId="1" hidden="1">2</definedName>
    <definedName name="solver_rel30" localSheetId="1" hidden="1">1</definedName>
    <definedName name="solver_rel31" localSheetId="1" hidden="1">1</definedName>
    <definedName name="solver_rel32" localSheetId="1" hidden="1">2</definedName>
    <definedName name="solver_rel4" localSheetId="1" hidden="1">1</definedName>
    <definedName name="solver_rel5" localSheetId="1" hidden="1">5</definedName>
    <definedName name="solver_rel6" localSheetId="1" hidden="1">1</definedName>
    <definedName name="solver_rel7" localSheetId="1" hidden="1">2</definedName>
    <definedName name="solver_rel8" localSheetId="1" hidden="1">1</definedName>
    <definedName name="solver_rel9" localSheetId="1" hidden="1">2</definedName>
    <definedName name="solver_rhs1" localSheetId="1" hidden="1">Optimization_model!$V$7</definedName>
    <definedName name="solver_rhs10" localSheetId="1" hidden="1">Optimization_model!$V$21</definedName>
    <definedName name="solver_rhs11" localSheetId="1" hidden="1">Optimization_model!$V$18</definedName>
    <definedName name="solver_rhs12" localSheetId="1" hidden="1">Optimization_model!$V$13</definedName>
    <definedName name="solver_rhs13" localSheetId="1" hidden="1">"integer"</definedName>
    <definedName name="solver_rhs14" localSheetId="1" hidden="1">"integer"</definedName>
    <definedName name="solver_rhs15" localSheetId="1" hidden="1">Optimization_model!$V$25</definedName>
    <definedName name="solver_rhs16" localSheetId="1" hidden="1">"integer"</definedName>
    <definedName name="solver_rhs17" localSheetId="1" hidden="1">Optimization_model!$V$26</definedName>
    <definedName name="solver_rhs18" localSheetId="1" hidden="1">"integer"</definedName>
    <definedName name="solver_rhs19" localSheetId="1" hidden="1">Optimization_model!$V$27</definedName>
    <definedName name="solver_rhs2" localSheetId="1" hidden="1">Optimization_model!$V$8</definedName>
    <definedName name="solver_rhs20" localSheetId="1" hidden="1">Optimization_model!$P$15</definedName>
    <definedName name="solver_rhs21" localSheetId="1" hidden="1">Optimization_model!$V$30</definedName>
    <definedName name="solver_rhs22" localSheetId="1" hidden="1">Optimization_model!$V$29</definedName>
    <definedName name="solver_rhs23" localSheetId="1" hidden="1">Optimization_model!$P$14</definedName>
    <definedName name="solver_rhs24" localSheetId="1" hidden="1">Optimization_model!$P$10</definedName>
    <definedName name="solver_rhs25" localSheetId="1" hidden="1">Optimization_model!$P$6</definedName>
    <definedName name="solver_rhs26" localSheetId="1" hidden="1">Optimization_model!$P$16</definedName>
    <definedName name="solver_rhs27" localSheetId="1" hidden="1">Optimization_model!$P$19</definedName>
    <definedName name="solver_rhs28" localSheetId="1" hidden="1">Optimization_model!$P$7</definedName>
    <definedName name="solver_rhs29" localSheetId="1" hidden="1">Optimization_model!$V$12</definedName>
    <definedName name="solver_rhs3" localSheetId="1" hidden="1">Optimization_model!$V$6</definedName>
    <definedName name="solver_rhs30" localSheetId="1" hidden="1">Optimization_model!$P$20</definedName>
    <definedName name="solver_rhs31" localSheetId="1" hidden="1">Optimization_model!$P$11</definedName>
    <definedName name="solver_rhs32" localSheetId="1" hidden="1">Optimization_model!$V$11</definedName>
    <definedName name="solver_rhs4" localSheetId="1" hidden="1">Optimization_model!$V$31</definedName>
    <definedName name="solver_rhs5" localSheetId="1" hidden="1">"binary"</definedName>
    <definedName name="solver_rhs6" localSheetId="1" hidden="1">Optimization_model!$V$23</definedName>
    <definedName name="solver_rhs7" localSheetId="1" hidden="1">Optimization_model!$V$17</definedName>
    <definedName name="solver_rhs8" localSheetId="1" hidden="1">Optimization_model!$V$22</definedName>
    <definedName name="solver_rhs9" localSheetId="1" hidden="1">Optimization_model!$V$16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0.0000001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1" i="3" l="1"/>
  <c r="V30" i="3"/>
  <c r="V29" i="3"/>
  <c r="T31" i="3"/>
  <c r="T30" i="3"/>
  <c r="T29" i="3"/>
  <c r="V27" i="3"/>
  <c r="V26" i="3"/>
  <c r="V25" i="3"/>
  <c r="T27" i="3"/>
  <c r="T26" i="3"/>
  <c r="T25" i="3"/>
  <c r="V23" i="3"/>
  <c r="V22" i="3"/>
  <c r="T23" i="3"/>
  <c r="T22" i="3"/>
  <c r="V21" i="3"/>
  <c r="T21" i="3"/>
  <c r="H22" i="3"/>
  <c r="M18" i="2"/>
  <c r="M17" i="2"/>
  <c r="M16" i="2"/>
  <c r="L18" i="2"/>
  <c r="L17" i="2"/>
  <c r="L16" i="2"/>
  <c r="K18" i="2"/>
  <c r="K17" i="2"/>
  <c r="K16" i="2"/>
  <c r="V17" i="3"/>
  <c r="V18" i="3"/>
  <c r="V16" i="3"/>
  <c r="T17" i="3"/>
  <c r="T18" i="3"/>
  <c r="T16" i="3"/>
  <c r="I22" i="3" l="1"/>
  <c r="G22" i="3"/>
  <c r="F22" i="3"/>
  <c r="E22" i="3"/>
  <c r="T13" i="3"/>
  <c r="T12" i="3"/>
  <c r="T11" i="3"/>
  <c r="T8" i="3"/>
  <c r="T7" i="3"/>
  <c r="T6" i="3"/>
  <c r="V12" i="3"/>
  <c r="V13" i="3"/>
  <c r="V11" i="3"/>
  <c r="V7" i="3"/>
  <c r="V8" i="3"/>
  <c r="V6" i="3"/>
  <c r="N20" i="3"/>
  <c r="N19" i="3"/>
  <c r="P20" i="3"/>
  <c r="P19" i="3"/>
  <c r="P16" i="3"/>
  <c r="P15" i="3"/>
  <c r="P14" i="3"/>
  <c r="N15" i="3"/>
  <c r="N16" i="3"/>
  <c r="N14" i="3"/>
  <c r="P11" i="3"/>
  <c r="P10" i="3"/>
  <c r="N11" i="3"/>
  <c r="N10" i="3"/>
  <c r="P7" i="3"/>
  <c r="P6" i="3"/>
  <c r="N7" i="3"/>
  <c r="N6" i="3"/>
  <c r="B22" i="3" l="1"/>
</calcChain>
</file>

<file path=xl/sharedStrings.xml><?xml version="1.0" encoding="utf-8"?>
<sst xmlns="http://schemas.openxmlformats.org/spreadsheetml/2006/main" count="145" uniqueCount="53">
  <si>
    <t>P1</t>
  </si>
  <si>
    <t>P2</t>
  </si>
  <si>
    <t>Price [pln]</t>
  </si>
  <si>
    <t>Production cost [pln]</t>
  </si>
  <si>
    <t>Client</t>
  </si>
  <si>
    <t>C1</t>
  </si>
  <si>
    <t>C2</t>
  </si>
  <si>
    <t>C3</t>
  </si>
  <si>
    <t>Product</t>
  </si>
  <si>
    <t>P1 demand</t>
  </si>
  <si>
    <t>P2 demand</t>
  </si>
  <si>
    <t>Machine</t>
  </si>
  <si>
    <t>M1</t>
  </si>
  <si>
    <t>M2</t>
  </si>
  <si>
    <t>P1 processing time [h/unit]</t>
  </si>
  <si>
    <t>P2 processing time [h/unit]</t>
  </si>
  <si>
    <t>Limit [h]</t>
  </si>
  <si>
    <t>Fixed cost</t>
  </si>
  <si>
    <t>Vehicle</t>
  </si>
  <si>
    <t>V1</t>
  </si>
  <si>
    <t>V2</t>
  </si>
  <si>
    <t>V3</t>
  </si>
  <si>
    <t>Type</t>
  </si>
  <si>
    <t>Capacity</t>
  </si>
  <si>
    <t>small bus</t>
  </si>
  <si>
    <t>middle truck</t>
  </si>
  <si>
    <t>large truck</t>
  </si>
  <si>
    <t>Fuel cost pln/km</t>
  </si>
  <si>
    <t>Distance [km]</t>
  </si>
  <si>
    <t/>
  </si>
  <si>
    <t>Fixed</t>
  </si>
  <si>
    <t>Variable</t>
  </si>
  <si>
    <t>Labour</t>
  </si>
  <si>
    <t>cost [pln]</t>
  </si>
  <si>
    <t>Constraints</t>
  </si>
  <si>
    <t>&lt;=</t>
  </si>
  <si>
    <t>Production</t>
  </si>
  <si>
    <t>Machines</t>
  </si>
  <si>
    <t>Vehicles</t>
  </si>
  <si>
    <t>Supply</t>
  </si>
  <si>
    <t>Demand P2</t>
  </si>
  <si>
    <t>Income</t>
  </si>
  <si>
    <t>Prod Cost</t>
  </si>
  <si>
    <t>Fixed M cost</t>
  </si>
  <si>
    <t>Trips</t>
  </si>
  <si>
    <t>=</t>
  </si>
  <si>
    <t>Transp Total</t>
  </si>
  <si>
    <t>Pal/Truck</t>
  </si>
  <si>
    <t>Cost matrix 2</t>
  </si>
  <si>
    <t>Objective - MAX</t>
  </si>
  <si>
    <t>DECISION VARIABLES</t>
  </si>
  <si>
    <t>Demand P1</t>
  </si>
  <si>
    <t>Fixed cost pln/trip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</si>
</sst>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0" xfId="0" quotePrefix="1"/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vertical="center"/>
    </xf>
    <xf numFmtId="0" fontId="2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82BD1-ABA0-421C-AA10-670F339B5D78}">
  <dimension ref="B3:N19"/>
  <sheetViews>
    <sheetView workbookViewId="0"/>
  </sheetViews>
  <sheetFormatPr defaultRowHeight="14.4" x14ac:dyDescent="0.3"/>
  <cols>
    <col min="3" max="3" width="12" bestFit="1" customWidth="1"/>
    <col min="4" max="4" width="19.109375" customWidth="1"/>
    <col min="5" max="5" width="8.88671875" customWidth="1"/>
    <col min="6" max="6" width="10.5546875" customWidth="1"/>
    <col min="7" max="7" width="14.21875" bestFit="1" customWidth="1"/>
    <col min="8" max="8" width="10" bestFit="1" customWidth="1"/>
    <col min="10" max="10" width="14.33203125" customWidth="1"/>
    <col min="11" max="12" width="22.5546875" bestFit="1" customWidth="1"/>
    <col min="13" max="13" width="13.77734375" customWidth="1"/>
    <col min="14" max="14" width="11.77734375" customWidth="1"/>
  </cols>
  <sheetData>
    <row r="3" spans="2:14" x14ac:dyDescent="0.3">
      <c r="B3" s="4" t="s">
        <v>8</v>
      </c>
      <c r="C3" s="4" t="s">
        <v>2</v>
      </c>
      <c r="D3" s="4" t="s">
        <v>3</v>
      </c>
      <c r="F3" s="4" t="s">
        <v>4</v>
      </c>
      <c r="G3" s="4" t="s">
        <v>9</v>
      </c>
      <c r="H3" s="4" t="s">
        <v>10</v>
      </c>
      <c r="J3" s="4" t="s">
        <v>11</v>
      </c>
      <c r="K3" s="4" t="s">
        <v>14</v>
      </c>
      <c r="L3" s="4" t="s">
        <v>15</v>
      </c>
      <c r="M3" s="4" t="s">
        <v>16</v>
      </c>
      <c r="N3" s="4" t="s">
        <v>17</v>
      </c>
    </row>
    <row r="4" spans="2:14" x14ac:dyDescent="0.3">
      <c r="B4" s="1" t="s">
        <v>0</v>
      </c>
      <c r="C4" s="2">
        <v>900</v>
      </c>
      <c r="D4" s="2">
        <v>500</v>
      </c>
      <c r="F4" s="1" t="s">
        <v>5</v>
      </c>
      <c r="G4" s="2">
        <v>200</v>
      </c>
      <c r="H4" s="2">
        <v>200</v>
      </c>
      <c r="J4" s="1" t="s">
        <v>12</v>
      </c>
      <c r="K4" s="2">
        <v>0.1</v>
      </c>
      <c r="L4" s="2">
        <v>0.15</v>
      </c>
      <c r="M4" s="2">
        <v>300</v>
      </c>
      <c r="N4" s="2">
        <v>12000</v>
      </c>
    </row>
    <row r="5" spans="2:14" x14ac:dyDescent="0.3">
      <c r="B5" s="1" t="s">
        <v>1</v>
      </c>
      <c r="C5" s="2">
        <v>650</v>
      </c>
      <c r="D5" s="2">
        <v>400</v>
      </c>
      <c r="F5" s="1" t="s">
        <v>6</v>
      </c>
      <c r="G5" s="2">
        <v>300</v>
      </c>
      <c r="H5" s="2">
        <v>300</v>
      </c>
      <c r="J5" s="1" t="s">
        <v>13</v>
      </c>
      <c r="K5" s="2">
        <v>0.15</v>
      </c>
      <c r="L5" s="2">
        <v>0.1</v>
      </c>
      <c r="M5" s="2">
        <v>300</v>
      </c>
      <c r="N5" s="2">
        <v>9000</v>
      </c>
    </row>
    <row r="6" spans="2:14" x14ac:dyDescent="0.3">
      <c r="F6" s="1" t="s">
        <v>7</v>
      </c>
      <c r="G6" s="2">
        <v>300</v>
      </c>
      <c r="H6" s="2">
        <v>375</v>
      </c>
    </row>
    <row r="9" spans="2:14" x14ac:dyDescent="0.3">
      <c r="B9" s="4" t="s">
        <v>18</v>
      </c>
      <c r="C9" s="4" t="s">
        <v>22</v>
      </c>
      <c r="D9" s="4" t="s">
        <v>23</v>
      </c>
      <c r="F9" s="4" t="s">
        <v>18</v>
      </c>
      <c r="G9" s="4" t="s">
        <v>27</v>
      </c>
      <c r="J9" s="4" t="s">
        <v>18</v>
      </c>
      <c r="K9" s="4" t="s">
        <v>52</v>
      </c>
    </row>
    <row r="10" spans="2:14" x14ac:dyDescent="0.3">
      <c r="B10" s="1" t="s">
        <v>19</v>
      </c>
      <c r="C10" s="2" t="s">
        <v>24</v>
      </c>
      <c r="D10" s="2">
        <v>10</v>
      </c>
      <c r="F10" s="1" t="s">
        <v>19</v>
      </c>
      <c r="G10" s="2">
        <v>1.8</v>
      </c>
      <c r="J10" s="1" t="s">
        <v>19</v>
      </c>
      <c r="K10" s="2">
        <v>180</v>
      </c>
    </row>
    <row r="11" spans="2:14" x14ac:dyDescent="0.3">
      <c r="B11" s="1" t="s">
        <v>20</v>
      </c>
      <c r="C11" s="2" t="s">
        <v>25</v>
      </c>
      <c r="D11" s="2">
        <v>22</v>
      </c>
      <c r="F11" s="1" t="s">
        <v>20</v>
      </c>
      <c r="G11" s="2">
        <v>2</v>
      </c>
      <c r="J11" s="1" t="s">
        <v>20</v>
      </c>
      <c r="K11" s="2">
        <v>420</v>
      </c>
    </row>
    <row r="12" spans="2:14" x14ac:dyDescent="0.3">
      <c r="B12" s="1" t="s">
        <v>21</v>
      </c>
      <c r="C12" s="2" t="s">
        <v>26</v>
      </c>
      <c r="D12" s="2">
        <v>34</v>
      </c>
      <c r="F12" s="1" t="s">
        <v>21</v>
      </c>
      <c r="G12" s="2">
        <v>2.1</v>
      </c>
      <c r="J12" s="1" t="s">
        <v>21</v>
      </c>
      <c r="K12" s="2">
        <v>530</v>
      </c>
    </row>
    <row r="15" spans="2:14" x14ac:dyDescent="0.3">
      <c r="B15" s="4" t="s">
        <v>4</v>
      </c>
      <c r="C15" s="4" t="s">
        <v>28</v>
      </c>
      <c r="F15" s="4" t="s">
        <v>32</v>
      </c>
      <c r="G15" s="4" t="s">
        <v>33</v>
      </c>
      <c r="J15" s="4" t="s">
        <v>48</v>
      </c>
      <c r="K15" s="4" t="s">
        <v>5</v>
      </c>
      <c r="L15" s="4" t="s">
        <v>6</v>
      </c>
      <c r="M15" s="4" t="s">
        <v>7</v>
      </c>
    </row>
    <row r="16" spans="2:14" x14ac:dyDescent="0.3">
      <c r="B16" s="1" t="s">
        <v>5</v>
      </c>
      <c r="C16" s="2">
        <v>40</v>
      </c>
      <c r="F16" s="1" t="s">
        <v>30</v>
      </c>
      <c r="G16" s="2">
        <v>120000</v>
      </c>
      <c r="J16" s="1" t="s">
        <v>19</v>
      </c>
      <c r="K16" s="2">
        <f>($C$16*G10+K10)</f>
        <v>252</v>
      </c>
      <c r="L16" s="2">
        <f>($C$17*G10+K10)</f>
        <v>378</v>
      </c>
      <c r="M16" s="2">
        <f>($C$18*G10+K10)</f>
        <v>612</v>
      </c>
    </row>
    <row r="17" spans="2:13" x14ac:dyDescent="0.3">
      <c r="B17" s="1" t="s">
        <v>6</v>
      </c>
      <c r="C17" s="2">
        <v>110</v>
      </c>
      <c r="F17" s="1" t="s">
        <v>31</v>
      </c>
      <c r="G17" s="2">
        <v>85</v>
      </c>
      <c r="J17" s="1" t="s">
        <v>20</v>
      </c>
      <c r="K17" s="2">
        <f>($C$16*G11+K11)</f>
        <v>500</v>
      </c>
      <c r="L17" s="2">
        <f>($C$17*G11+K11)</f>
        <v>640</v>
      </c>
      <c r="M17" s="2">
        <f>($C$18*G11+K11)</f>
        <v>900</v>
      </c>
    </row>
    <row r="18" spans="2:13" x14ac:dyDescent="0.3">
      <c r="B18" s="1" t="s">
        <v>7</v>
      </c>
      <c r="C18" s="2">
        <v>240</v>
      </c>
      <c r="J18" s="1" t="s">
        <v>21</v>
      </c>
      <c r="K18" s="2">
        <f>($C$16*G12+K12)</f>
        <v>614</v>
      </c>
      <c r="L18" s="2">
        <f>($C$17*G12+K12)</f>
        <v>761</v>
      </c>
      <c r="M18" s="2">
        <f>($C$18*G12+K12)</f>
        <v>1034</v>
      </c>
    </row>
    <row r="19" spans="2:13" x14ac:dyDescent="0.3">
      <c r="C19" s="3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4C7E1-897A-45ED-AE16-5C56E1EA35D7}">
  <dimension ref="B1:V31"/>
  <sheetViews>
    <sheetView tabSelected="1" zoomScale="85" zoomScaleNormal="85" workbookViewId="0">
      <selection activeCell="K3" sqref="K3"/>
    </sheetView>
  </sheetViews>
  <sheetFormatPr defaultRowHeight="14.4" x14ac:dyDescent="0.3"/>
  <cols>
    <col min="1" max="1" width="3" customWidth="1"/>
    <col min="2" max="10" width="11.77734375" customWidth="1"/>
    <col min="13" max="13" width="13.6640625" customWidth="1"/>
    <col min="19" max="19" width="10.21875" bestFit="1" customWidth="1"/>
  </cols>
  <sheetData>
    <row r="1" spans="2:22" x14ac:dyDescent="0.3">
      <c r="B1" s="19" t="s">
        <v>50</v>
      </c>
      <c r="C1" s="19"/>
      <c r="D1" s="19"/>
      <c r="E1" s="19"/>
      <c r="F1" s="19"/>
      <c r="G1" s="19"/>
      <c r="H1" s="19"/>
      <c r="I1" s="19"/>
      <c r="J1" s="19"/>
    </row>
    <row r="3" spans="2:22" x14ac:dyDescent="0.3">
      <c r="B3" s="6"/>
      <c r="C3" s="6"/>
      <c r="D3" s="10" t="s">
        <v>0</v>
      </c>
      <c r="E3" s="6"/>
      <c r="F3" s="6"/>
      <c r="G3" s="6"/>
      <c r="H3" s="6"/>
      <c r="I3" s="10" t="s">
        <v>1</v>
      </c>
      <c r="J3" s="6"/>
      <c r="M3" t="s">
        <v>34</v>
      </c>
    </row>
    <row r="4" spans="2:22" x14ac:dyDescent="0.3">
      <c r="B4" s="6"/>
      <c r="C4" s="6"/>
      <c r="D4" s="15">
        <v>800</v>
      </c>
      <c r="E4" s="6"/>
      <c r="F4" s="6"/>
      <c r="G4" s="6"/>
      <c r="H4" s="6"/>
      <c r="I4" s="15">
        <v>875</v>
      </c>
      <c r="J4" s="6"/>
    </row>
    <row r="5" spans="2:22" x14ac:dyDescent="0.3">
      <c r="B5" s="6"/>
      <c r="C5" s="6"/>
      <c r="D5" s="6"/>
      <c r="E5" s="6"/>
      <c r="F5" s="6"/>
      <c r="G5" s="6"/>
      <c r="H5" s="6"/>
      <c r="I5" s="6"/>
      <c r="J5" s="6"/>
      <c r="M5" t="s">
        <v>36</v>
      </c>
      <c r="S5" t="s">
        <v>51</v>
      </c>
    </row>
    <row r="6" spans="2:22" x14ac:dyDescent="0.3">
      <c r="B6" s="6"/>
      <c r="C6" s="5" t="s">
        <v>5</v>
      </c>
      <c r="D6" s="5" t="s">
        <v>6</v>
      </c>
      <c r="E6" s="5" t="s">
        <v>7</v>
      </c>
      <c r="F6" s="6"/>
      <c r="G6" s="6"/>
      <c r="H6" s="8" t="s">
        <v>5</v>
      </c>
      <c r="I6" s="8" t="s">
        <v>6</v>
      </c>
      <c r="J6" s="8" t="s">
        <v>7</v>
      </c>
      <c r="M6" t="s">
        <v>0</v>
      </c>
      <c r="N6">
        <f>D4</f>
        <v>800</v>
      </c>
      <c r="O6" t="s">
        <v>35</v>
      </c>
      <c r="P6">
        <f>SUM(Model_inputs!G4:G6)</f>
        <v>800</v>
      </c>
      <c r="S6" t="s">
        <v>5</v>
      </c>
      <c r="T6">
        <f>SUM(C7:C9)</f>
        <v>200</v>
      </c>
      <c r="U6" t="s">
        <v>45</v>
      </c>
      <c r="V6">
        <f>Model_inputs!G4</f>
        <v>200</v>
      </c>
    </row>
    <row r="7" spans="2:22" x14ac:dyDescent="0.3">
      <c r="B7" s="11" t="s">
        <v>19</v>
      </c>
      <c r="C7" s="7">
        <v>0</v>
      </c>
      <c r="D7" s="7">
        <v>0</v>
      </c>
      <c r="E7" s="7">
        <v>0</v>
      </c>
      <c r="F7" s="6"/>
      <c r="G7" s="13" t="s">
        <v>19</v>
      </c>
      <c r="H7" s="16">
        <v>0</v>
      </c>
      <c r="I7" s="16">
        <v>0</v>
      </c>
      <c r="J7" s="16">
        <v>0</v>
      </c>
      <c r="M7" t="s">
        <v>1</v>
      </c>
      <c r="N7">
        <f>I4</f>
        <v>875</v>
      </c>
      <c r="O7" t="s">
        <v>35</v>
      </c>
      <c r="P7">
        <f>SUM(Model_inputs!H4:H6)</f>
        <v>875</v>
      </c>
      <c r="S7" t="s">
        <v>6</v>
      </c>
      <c r="T7">
        <f>SUM(D7:D9)</f>
        <v>300</v>
      </c>
      <c r="U7" t="s">
        <v>45</v>
      </c>
      <c r="V7">
        <f>Model_inputs!G5</f>
        <v>300</v>
      </c>
    </row>
    <row r="8" spans="2:22" x14ac:dyDescent="0.3">
      <c r="B8" s="11" t="s">
        <v>20</v>
      </c>
      <c r="C8" s="7">
        <v>0</v>
      </c>
      <c r="D8" s="7">
        <v>0</v>
      </c>
      <c r="E8" s="7">
        <v>0</v>
      </c>
      <c r="F8" s="6"/>
      <c r="G8" s="13" t="s">
        <v>20</v>
      </c>
      <c r="H8" s="16">
        <v>0</v>
      </c>
      <c r="I8" s="16">
        <v>22</v>
      </c>
      <c r="J8" s="16">
        <v>0</v>
      </c>
      <c r="S8" t="s">
        <v>7</v>
      </c>
      <c r="T8">
        <f>SUM(E7:E9)</f>
        <v>300</v>
      </c>
      <c r="U8" t="s">
        <v>45</v>
      </c>
      <c r="V8">
        <f>Model_inputs!G6</f>
        <v>300</v>
      </c>
    </row>
    <row r="9" spans="2:22" x14ac:dyDescent="0.3">
      <c r="B9" s="11" t="s">
        <v>21</v>
      </c>
      <c r="C9" s="7">
        <v>200</v>
      </c>
      <c r="D9" s="7">
        <v>300</v>
      </c>
      <c r="E9" s="7">
        <v>300</v>
      </c>
      <c r="F9" s="6"/>
      <c r="G9" s="13" t="s">
        <v>21</v>
      </c>
      <c r="H9" s="16">
        <v>200</v>
      </c>
      <c r="I9" s="16">
        <v>278</v>
      </c>
      <c r="J9" s="16">
        <v>375</v>
      </c>
      <c r="M9" t="s">
        <v>37</v>
      </c>
    </row>
    <row r="10" spans="2:22" x14ac:dyDescent="0.3">
      <c r="B10" s="6"/>
      <c r="C10" s="6"/>
      <c r="D10" s="6"/>
      <c r="E10" s="6"/>
      <c r="F10" s="6"/>
      <c r="G10" s="6"/>
      <c r="H10" s="6"/>
      <c r="I10" s="6"/>
      <c r="J10" s="6"/>
      <c r="M10" t="s">
        <v>12</v>
      </c>
      <c r="N10">
        <f>D4*Model_inputs!K4+Optimization_model!I4*Model_inputs!L4</f>
        <v>211.25</v>
      </c>
      <c r="O10" t="s">
        <v>35</v>
      </c>
      <c r="P10">
        <f>Model_inputs!M4*C13</f>
        <v>300</v>
      </c>
      <c r="Q10" s="18"/>
      <c r="S10" t="s">
        <v>40</v>
      </c>
    </row>
    <row r="11" spans="2:22" x14ac:dyDescent="0.3">
      <c r="B11" s="6"/>
      <c r="C11" s="6"/>
      <c r="D11" s="6"/>
      <c r="E11" s="6"/>
      <c r="F11" s="6"/>
      <c r="G11" s="6"/>
      <c r="H11" s="6"/>
      <c r="I11" s="6"/>
      <c r="J11" s="6"/>
      <c r="M11" t="s">
        <v>13</v>
      </c>
      <c r="N11">
        <f>D4*Model_inputs!K5+Optimization_model!I4*Model_inputs!L5</f>
        <v>207.5</v>
      </c>
      <c r="O11" t="s">
        <v>35</v>
      </c>
      <c r="P11">
        <f>Model_inputs!M5*C14</f>
        <v>300</v>
      </c>
      <c r="Q11" s="18"/>
      <c r="S11" t="s">
        <v>5</v>
      </c>
      <c r="T11">
        <f>SUM(H7:H9)</f>
        <v>200</v>
      </c>
      <c r="U11" t="s">
        <v>45</v>
      </c>
      <c r="V11">
        <f>Model_inputs!H4</f>
        <v>200</v>
      </c>
    </row>
    <row r="12" spans="2:22" x14ac:dyDescent="0.3">
      <c r="B12" s="6"/>
      <c r="C12" s="10" t="s">
        <v>37</v>
      </c>
      <c r="D12" s="6"/>
      <c r="E12" s="6"/>
      <c r="F12" s="6"/>
      <c r="G12" s="6"/>
      <c r="H12" s="9" t="s">
        <v>5</v>
      </c>
      <c r="I12" s="9" t="s">
        <v>6</v>
      </c>
      <c r="J12" s="9" t="s">
        <v>7</v>
      </c>
      <c r="S12" t="s">
        <v>6</v>
      </c>
      <c r="T12">
        <f>SUM(I7:I9)</f>
        <v>300</v>
      </c>
      <c r="U12" t="s">
        <v>45</v>
      </c>
      <c r="V12">
        <f>Model_inputs!H5</f>
        <v>300</v>
      </c>
    </row>
    <row r="13" spans="2:22" x14ac:dyDescent="0.3">
      <c r="B13" s="12" t="s">
        <v>12</v>
      </c>
      <c r="C13" s="15">
        <v>1</v>
      </c>
      <c r="D13" s="6"/>
      <c r="E13" s="6"/>
      <c r="F13" s="6"/>
      <c r="G13" s="14" t="s">
        <v>19</v>
      </c>
      <c r="H13" s="17">
        <v>0</v>
      </c>
      <c r="I13" s="17">
        <v>0</v>
      </c>
      <c r="J13" s="17">
        <v>0</v>
      </c>
      <c r="M13" t="s">
        <v>38</v>
      </c>
      <c r="S13" t="s">
        <v>7</v>
      </c>
      <c r="T13">
        <f>SUM(J7:J9)</f>
        <v>375</v>
      </c>
      <c r="U13" t="s">
        <v>45</v>
      </c>
      <c r="V13">
        <f>Model_inputs!H6</f>
        <v>375</v>
      </c>
    </row>
    <row r="14" spans="2:22" x14ac:dyDescent="0.3">
      <c r="B14" s="12" t="s">
        <v>13</v>
      </c>
      <c r="C14" s="15">
        <v>1</v>
      </c>
      <c r="D14" s="6"/>
      <c r="E14" s="6"/>
      <c r="F14" s="6"/>
      <c r="G14" s="14" t="s">
        <v>20</v>
      </c>
      <c r="H14" s="17">
        <v>0</v>
      </c>
      <c r="I14" s="17">
        <v>1</v>
      </c>
      <c r="J14" s="17">
        <v>0</v>
      </c>
      <c r="M14" t="s">
        <v>19</v>
      </c>
      <c r="N14">
        <f>SUM(C7:E7,H7:J7)</f>
        <v>0</v>
      </c>
      <c r="O14" t="s">
        <v>35</v>
      </c>
      <c r="P14">
        <f>C17*Model_inputs!D10</f>
        <v>0</v>
      </c>
    </row>
    <row r="15" spans="2:22" x14ac:dyDescent="0.3">
      <c r="B15" s="6"/>
      <c r="C15" s="6"/>
      <c r="D15" s="6"/>
      <c r="E15" s="6"/>
      <c r="F15" s="6"/>
      <c r="G15" s="14" t="s">
        <v>21</v>
      </c>
      <c r="H15" s="17">
        <v>12</v>
      </c>
      <c r="I15" s="17">
        <v>17</v>
      </c>
      <c r="J15" s="17">
        <v>20</v>
      </c>
      <c r="M15" t="s">
        <v>20</v>
      </c>
      <c r="N15">
        <f t="shared" ref="N15:N16" si="0">SUM(C8:E8,H8:J8)</f>
        <v>22</v>
      </c>
      <c r="O15" t="s">
        <v>35</v>
      </c>
      <c r="P15">
        <f>C18*Model_inputs!D11</f>
        <v>22</v>
      </c>
      <c r="S15" t="s">
        <v>44</v>
      </c>
    </row>
    <row r="16" spans="2:22" x14ac:dyDescent="0.3">
      <c r="B16" s="6"/>
      <c r="C16" s="10" t="s">
        <v>38</v>
      </c>
      <c r="D16" s="6"/>
      <c r="E16" s="6"/>
      <c r="F16" s="6"/>
      <c r="G16" s="6"/>
      <c r="H16" s="6"/>
      <c r="I16" s="6"/>
      <c r="J16" s="6"/>
      <c r="M16" t="s">
        <v>21</v>
      </c>
      <c r="N16">
        <f t="shared" si="0"/>
        <v>1653</v>
      </c>
      <c r="O16" t="s">
        <v>35</v>
      </c>
      <c r="P16">
        <f>C19*Model_inputs!D12</f>
        <v>1666</v>
      </c>
      <c r="S16" t="s">
        <v>19</v>
      </c>
      <c r="T16">
        <f>SUM(H13:J13)</f>
        <v>0</v>
      </c>
      <c r="U16" t="s">
        <v>45</v>
      </c>
      <c r="V16">
        <f>C17</f>
        <v>0</v>
      </c>
    </row>
    <row r="17" spans="2:22" x14ac:dyDescent="0.3">
      <c r="B17" s="12" t="s">
        <v>19</v>
      </c>
      <c r="C17" s="15">
        <v>0</v>
      </c>
      <c r="D17" s="6"/>
      <c r="E17" s="6"/>
      <c r="F17" s="6"/>
      <c r="G17" s="6"/>
      <c r="H17" s="6"/>
      <c r="I17" s="6"/>
      <c r="J17" s="6"/>
      <c r="S17" t="s">
        <v>20</v>
      </c>
      <c r="T17">
        <f t="shared" ref="T17:T18" si="1">SUM(H14:J14)</f>
        <v>1</v>
      </c>
      <c r="U17" t="s">
        <v>45</v>
      </c>
      <c r="V17">
        <f>C18</f>
        <v>1</v>
      </c>
    </row>
    <row r="18" spans="2:22" x14ac:dyDescent="0.3">
      <c r="B18" s="12" t="s">
        <v>20</v>
      </c>
      <c r="C18" s="15">
        <v>1</v>
      </c>
      <c r="D18" s="6"/>
      <c r="E18" s="6"/>
      <c r="F18" s="6"/>
      <c r="G18" s="6"/>
      <c r="H18" s="6"/>
      <c r="I18" s="6"/>
      <c r="J18" s="6"/>
      <c r="M18" t="s">
        <v>39</v>
      </c>
      <c r="S18" t="s">
        <v>21</v>
      </c>
      <c r="T18">
        <f t="shared" si="1"/>
        <v>49</v>
      </c>
      <c r="U18" t="s">
        <v>45</v>
      </c>
      <c r="V18">
        <f>C19</f>
        <v>49</v>
      </c>
    </row>
    <row r="19" spans="2:22" x14ac:dyDescent="0.3">
      <c r="B19" s="12" t="s">
        <v>21</v>
      </c>
      <c r="C19" s="15">
        <v>49</v>
      </c>
      <c r="D19" s="6"/>
      <c r="E19" s="6"/>
      <c r="F19" s="6"/>
      <c r="G19" s="6"/>
      <c r="H19" s="6"/>
      <c r="I19" s="6"/>
      <c r="J19" s="6"/>
      <c r="M19" t="s">
        <v>0</v>
      </c>
      <c r="N19">
        <f>SUM(C7:E9)</f>
        <v>800</v>
      </c>
      <c r="O19" t="s">
        <v>35</v>
      </c>
      <c r="P19">
        <f>D4</f>
        <v>800</v>
      </c>
    </row>
    <row r="20" spans="2:22" x14ac:dyDescent="0.3">
      <c r="M20" t="s">
        <v>1</v>
      </c>
      <c r="N20">
        <f>SUM(H7:J9)</f>
        <v>875</v>
      </c>
      <c r="O20" t="s">
        <v>35</v>
      </c>
      <c r="P20">
        <f>I4</f>
        <v>875</v>
      </c>
      <c r="S20" t="s">
        <v>47</v>
      </c>
    </row>
    <row r="21" spans="2:22" x14ac:dyDescent="0.3">
      <c r="B21" s="19" t="s">
        <v>49</v>
      </c>
      <c r="C21" s="19"/>
      <c r="E21" s="5" t="s">
        <v>41</v>
      </c>
      <c r="F21" s="5" t="s">
        <v>42</v>
      </c>
      <c r="G21" s="5" t="s">
        <v>43</v>
      </c>
      <c r="H21" s="5" t="s">
        <v>46</v>
      </c>
      <c r="I21" s="5" t="s">
        <v>32</v>
      </c>
      <c r="S21" t="s">
        <v>19</v>
      </c>
      <c r="T21">
        <f>SUM(C7,H7)</f>
        <v>0</v>
      </c>
      <c r="U21" t="s">
        <v>35</v>
      </c>
      <c r="V21">
        <f>H13*10</f>
        <v>0</v>
      </c>
    </row>
    <row r="22" spans="2:22" x14ac:dyDescent="0.3">
      <c r="B22" s="20">
        <f>E22-F22-G22-I22-H22</f>
        <v>213750</v>
      </c>
      <c r="C22" s="20"/>
      <c r="E22" s="7">
        <f>D4*Model_inputs!C4+I4*Model_inputs!C5</f>
        <v>1288750</v>
      </c>
      <c r="F22" s="7">
        <f>D4*Model_inputs!D4+Optimization_model!I4*Model_inputs!D5</f>
        <v>750000</v>
      </c>
      <c r="G22" s="7">
        <f>C13*Model_inputs!N4+Optimization_model!C14*Model_inputs!N5</f>
        <v>21000</v>
      </c>
      <c r="H22" s="7">
        <f>SUMPRODUCT(H13:J15,Model_inputs!K16:M18)</f>
        <v>41625</v>
      </c>
      <c r="I22" s="7">
        <f>SUM(Optimization_model!D4,Optimization_model!I4)*Model_inputs!G17+Model_inputs!G16</f>
        <v>262375</v>
      </c>
      <c r="T22">
        <f>SUM(D7,I7)</f>
        <v>0</v>
      </c>
      <c r="U22" t="s">
        <v>35</v>
      </c>
      <c r="V22">
        <f>I13*10</f>
        <v>0</v>
      </c>
    </row>
    <row r="23" spans="2:22" x14ac:dyDescent="0.3">
      <c r="T23">
        <f>SUM(E7,J7)</f>
        <v>0</v>
      </c>
      <c r="U23" t="s">
        <v>35</v>
      </c>
      <c r="V23">
        <f>J13*10</f>
        <v>0</v>
      </c>
    </row>
    <row r="25" spans="2:22" x14ac:dyDescent="0.3">
      <c r="S25" t="s">
        <v>20</v>
      </c>
      <c r="T25">
        <f>SUM(C8,H8)</f>
        <v>0</v>
      </c>
      <c r="U25" t="s">
        <v>35</v>
      </c>
      <c r="V25">
        <f>H14*22</f>
        <v>0</v>
      </c>
    </row>
    <row r="26" spans="2:22" x14ac:dyDescent="0.3">
      <c r="T26">
        <f>SUM(D8,I8)</f>
        <v>22</v>
      </c>
      <c r="U26" t="s">
        <v>35</v>
      </c>
      <c r="V26">
        <f>I14*22</f>
        <v>22</v>
      </c>
    </row>
    <row r="27" spans="2:22" x14ac:dyDescent="0.3">
      <c r="T27">
        <f>SUM(E8,J8)</f>
        <v>0</v>
      </c>
      <c r="U27" t="s">
        <v>35</v>
      </c>
      <c r="V27">
        <f>J14*22</f>
        <v>0</v>
      </c>
    </row>
    <row r="29" spans="2:22" x14ac:dyDescent="0.3">
      <c r="S29" t="s">
        <v>21</v>
      </c>
      <c r="T29">
        <f>SUM(C9,H9)</f>
        <v>400</v>
      </c>
      <c r="U29" t="s">
        <v>35</v>
      </c>
      <c r="V29">
        <f>H15*34</f>
        <v>408</v>
      </c>
    </row>
    <row r="30" spans="2:22" x14ac:dyDescent="0.3">
      <c r="T30">
        <f>SUM(D9,I9)</f>
        <v>578</v>
      </c>
      <c r="U30" t="s">
        <v>35</v>
      </c>
      <c r="V30">
        <f>I15*34</f>
        <v>578</v>
      </c>
    </row>
    <row r="31" spans="2:22" x14ac:dyDescent="0.3">
      <c r="T31">
        <f>SUM(E9,J9)</f>
        <v>675</v>
      </c>
      <c r="U31" t="s">
        <v>35</v>
      </c>
      <c r="V31">
        <f>J15*34</f>
        <v>680</v>
      </c>
    </row>
  </sheetData>
  <mergeCells count="3">
    <mergeCell ref="B21:C21"/>
    <mergeCell ref="B22:C22"/>
    <mergeCell ref="B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Model_inputs</vt:lpstr>
      <vt:lpstr>Optimization_model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Łukasz Barczak</dc:creator>
  <cp:lastModifiedBy>Łukasz Barczak</cp:lastModifiedBy>
  <dcterms:created xsi:type="dcterms:W3CDTF">2026-04-21T12:28:35Z</dcterms:created>
  <dcterms:modified xsi:type="dcterms:W3CDTF">2026-07-21T22:16:09Z</dcterms:modified>
</cp:coreProperties>
</file>